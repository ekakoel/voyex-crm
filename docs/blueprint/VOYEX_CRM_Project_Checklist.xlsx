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6090c68b6946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471391715d344d53"/>
    <x:sheet xmlns:r="http://schemas.openxmlformats.org/officeDocument/2006/relationships" name="Checklist" sheetId="2" r:id="R3d91dfe899fb4890"/>
    <x:sheet xmlns:r="http://schemas.openxmlformats.org/officeDocument/2006/relationships" name="Status Reference" sheetId="3" r:id="R1823e9cba0884e22"/>
    <x:sheet xmlns:r="http://schemas.openxmlformats.org/officeDocument/2006/relationships" name="Readiness Gate" sheetId="4" r:id="R5b6c971897654e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3">
    <x:font>
      <x:sz val="11"/>
      <x:name val="Carlito"/>
    </x:font>
    <x:font>
      <x:b/>
      <x:sz val="16"/>
      <x:color rgb="FFFFFF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164E63"/>
      </x:patternFill>
    </x:fill>
    <x:fill>
      <x:patternFill patternType="solid">
        <x:fgColor rgb="7C2D12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20dd2f8a894b2c" /><Relationship Type="http://schemas.openxmlformats.org/officeDocument/2006/relationships/theme" Target="/xl/theme/theme1.xml" Id="R770cb69340494653" /><Relationship Type="http://schemas.openxmlformats.org/officeDocument/2006/relationships/sharedStrings" Target="/xl/sharedStrings.xml" Id="R4986d7945669450f" /><Relationship Type="http://schemas.openxmlformats.org/officeDocument/2006/relationships/worksheet" Target="/xl/worksheets/sheet1.xml" Id="R471391715d344d53" /><Relationship Type="http://schemas.openxmlformats.org/officeDocument/2006/relationships/worksheet" Target="/xl/worksheets/sheet2.xml" Id="R3d91dfe899fb4890" /><Relationship Type="http://schemas.openxmlformats.org/officeDocument/2006/relationships/worksheet" Target="/xl/worksheets/sheet3.xml" Id="R1823e9cba0884e22" /><Relationship Type="http://schemas.openxmlformats.org/officeDocument/2006/relationships/worksheet" Target="/xl/worksheets/sheet4.xml" Id="R5b6c971897654eef" /></Relationships>
</file>

<file path=xl/tables/table1.xml><?xml version="1.0" encoding="utf-8"?>
<x:table xmlns:x="http://schemas.openxmlformats.org/spreadsheetml/2006/main" id="1" name="ProjectChecklistTable" displayName="ProjectChecklistTable" ref="A1:H61" headerRowCount="1">
  <x:tableColumns count="8">
    <x:tableColumn id="1" name="Phase"/>
    <x:tableColumn id="2" name="Module"/>
    <x:tableColumn id="3" name="Task"/>
    <x:tableColumn id="4" name="Priority"/>
    <x:tableColumn id="5" name="Status"/>
    <x:tableColumn id="6" name="Owner"/>
    <x:tableColumn id="7" name="Target Date"/>
    <x:tableColumn id="8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StatusReferenceTable" displayName="StatusReferenceTable" ref="A1:D83" headerRowCount="1">
  <x:tableColumns count="4">
    <x:tableColumn id="1" name="Module"/>
    <x:tableColumn id="2" name="Recommended Status"/>
    <x:tableColumn id="3" name="Final?"/>
    <x:tableColumn id="4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ReadinessGateTable" displayName="ReadinessGateTable" ref="A1:D10" headerRowCount="1">
  <x:tableColumns count="4">
    <x:tableColumn id="1" name="Gate"/>
    <x:tableColumn id="2" name="Pass Criteria"/>
    <x:tableColumn id="3" name="Status"/>
    <x:tableColumn id="4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c60faca20ff4ae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564bd437e6b49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caa3fb2be01491d" /></Relationships>
</file>

<file path=xl/worksheets/sheet1.xml><?xml version="1.0" encoding="utf-8"?>
<x:worksheet xmlns:x="http://schemas.openxmlformats.org/spreadsheetml/2006/main">
  <x:sheetFormatPr defaultRowHeight="15"/>
  <x:cols>
    <x:col min="1" max="1" width="9.829999923706055" hidden="0" customWidth="1"/>
    <x:col min="2" max="2" width="6.730000019073486" hidden="0" customWidth="1"/>
  </x:cols>
  <x:sheetData>
    <x:row r="1">
      <x:c r="A1" s="4" t="str">
        <x:v>VOYEX CRM Project Readiness Tracker</x:v>
      </x:c>
    </x:row>
    <x:row r="3">
      <x:c r="A3" s="9" t="str">
        <x:v>Metric</x:v>
      </x:c>
      <x:c r="B3" s="9" t="str">
        <x:v>Formula</x:v>
      </x:c>
    </x:row>
    <x:row r="4">
      <x:c r="A4" t="str">
        <x:v>Total Tasks</x:v>
      </x:c>
      <x:c r="B4" t="n">
        <x:f>COUNTA(Checklist!C2:C500)</x:f>
        <x:v>60</x:v>
      </x:c>
    </x:row>
    <x:row r="5">
      <x:c r="A5" t="str">
        <x:v>Done</x:v>
      </x:c>
      <x:c r="B5" t="n">
        <x:f>COUNTIF(Checklist!E2:E500,"Done")</x:f>
        <x:v>0</x:v>
      </x:c>
    </x:row>
    <x:row r="6">
      <x:c r="A6" t="str">
        <x:v>In Progress</x:v>
      </x:c>
      <x:c r="B6" t="n">
        <x:f>COUNTIF(Checklist!E2:E500,"In Progress")</x:f>
        <x:v>0</x:v>
      </x:c>
    </x:row>
    <x:row r="7">
      <x:c r="A7" t="str">
        <x:v>Blocked</x:v>
      </x:c>
      <x:c r="B7" t="n">
        <x:f>COUNTIF(Checklist!E2:E500,"Blocked")</x:f>
        <x:v>0</x:v>
      </x:c>
    </x:row>
    <x:row r="8">
      <x:c r="A8" t="str">
        <x:v>Readiness %</x:v>
      </x:c>
      <x:c r="B8" s="12" t="n">
        <x:f>IF(B4=0,0,B5/B4)</x:f>
        <x:v>0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7.360000610351562" hidden="0" customWidth="1"/>
    <x:col min="2" max="2" width="9.289999961853027" hidden="0" customWidth="1"/>
    <x:col min="3" max="3" width="42.93000030517578" hidden="0" customWidth="1"/>
    <x:col min="4" max="4" width="6.730000019073486" hidden="0" customWidth="1"/>
    <x:col min="5" max="5" width="9.149999618530273" hidden="0" customWidth="1"/>
    <x:col min="6" max="6" width="5.519999980926514" hidden="0" customWidth="1"/>
    <x:col min="7" max="7" width="9.289999961853027" hidden="0" customWidth="1"/>
    <x:col min="8" max="8" width="4.710000038146973" hidden="0" customWidth="1"/>
  </x:cols>
  <x:sheetData>
    <x:row r="1">
      <x:c r="A1" s="18" t="str">
        <x:v>Phase</x:v>
      </x:c>
      <x:c r="B1" s="18" t="str">
        <x:v>Module</x:v>
      </x:c>
      <x:c r="C1" s="18" t="str">
        <x:v>Task</x:v>
      </x:c>
      <x:c r="D1" s="18" t="str">
        <x:v>Priority</x:v>
      </x:c>
      <x:c r="E1" s="18" t="str">
        <x:v>Status</x:v>
      </x:c>
      <x:c r="F1" s="18" t="str">
        <x:v>Owner</x:v>
      </x:c>
      <x:c r="G1" s="18" t="str">
        <x:v>Target Date</x:v>
      </x:c>
      <x:c r="H1" s="18" t="str">
        <x:v>Notes</x:v>
      </x:c>
    </x:row>
    <x:row r="2">
      <x:c r="A2" s="19" t="str">
        <x:v>Phase 0 - Safety</x:v>
      </x:c>
      <x:c r="B2" s="19" t="str">
        <x:v>System</x:v>
      </x:c>
      <x:c r="C2" s="19" t="str">
        <x:v>Backup database</x:v>
      </x:c>
      <x:c r="D2" s="19" t="str">
        <x:v>High</x:v>
      </x:c>
      <x:c r="E2" s="19" t="str">
        <x:v>Not Started</x:v>
      </x:c>
      <x:c r="F2" s="19" t="str"/>
      <x:c r="G2" s="19" t="str"/>
      <x:c r="H2" s="19" t="str"/>
    </x:row>
    <x:row r="3">
      <x:c r="A3" s="19" t="str">
        <x:v>Phase 0 - Safety</x:v>
      </x:c>
      <x:c r="B3" s="19" t="str">
        <x:v>Git</x:v>
      </x:c>
      <x:c r="C3" s="19" t="str">
        <x:v>Create working branch</x:v>
      </x:c>
      <x:c r="D3" s="19" t="str">
        <x:v>High</x:v>
      </x:c>
      <x:c r="E3" s="19" t="str">
        <x:v>Not Started</x:v>
      </x:c>
      <x:c r="F3" s="19" t="str"/>
      <x:c r="G3" s="19" t="str"/>
      <x:c r="H3" s="19" t="str"/>
    </x:row>
    <x:row r="4">
      <x:c r="A4" s="19" t="str">
        <x:v>Phase 0 - Safety</x:v>
      </x:c>
      <x:c r="B4" s="19" t="str">
        <x:v>Production</x:v>
      </x:c>
      <x:c r="C4" s="19" t="str">
        <x:v>Check APP_DEBUG=false</x:v>
      </x:c>
      <x:c r="D4" s="19" t="str">
        <x:v>High</x:v>
      </x:c>
      <x:c r="E4" s="19" t="str">
        <x:v>Not Started</x:v>
      </x:c>
      <x:c r="F4" s="19" t="str"/>
      <x:c r="G4" s="19" t="str"/>
      <x:c r="H4" s="19" t="str"/>
    </x:row>
    <x:row r="5">
      <x:c r="A5" s="19" t="str">
        <x:v>Phase 0 - Safety</x:v>
      </x:c>
      <x:c r="B5" s="19" t="str">
        <x:v>Security</x:v>
      </x:c>
      <x:c r="C5" s="19" t="str">
        <x:v>Remove/guard debug routes</x:v>
      </x:c>
      <x:c r="D5" s="19" t="str">
        <x:v>High</x:v>
      </x:c>
      <x:c r="E5" s="19" t="str">
        <x:v>Not Started</x:v>
      </x:c>
      <x:c r="F5" s="19" t="str"/>
      <x:c r="G5" s="19" t="str"/>
      <x:c r="H5" s="19" t="str"/>
    </x:row>
    <x:row r="6">
      <x:c r="A6" s="19" t="str">
        <x:v>Phase 1 - Audit</x:v>
      </x:c>
      <x:c r="B6" s="19" t="str">
        <x:v>Database</x:v>
      </x:c>
      <x:c r="C6" s="19" t="str">
        <x:v>Audit migrations</x:v>
      </x:c>
      <x:c r="D6" s="19" t="str">
        <x:v>High</x:v>
      </x:c>
      <x:c r="E6" s="19" t="str">
        <x:v>Not Started</x:v>
      </x:c>
      <x:c r="F6" s="19" t="str"/>
      <x:c r="G6" s="19" t="str"/>
      <x:c r="H6" s="19" t="str"/>
    </x:row>
    <x:row r="7">
      <x:c r="A7" s="19" t="str">
        <x:v>Phase 1 - Audit</x:v>
      </x:c>
      <x:c r="B7" s="19" t="str">
        <x:v>Models</x:v>
      </x:c>
      <x:c r="C7" s="19" t="str">
        <x:v>Audit model relationships</x:v>
      </x:c>
      <x:c r="D7" s="19" t="str">
        <x:v>High</x:v>
      </x:c>
      <x:c r="E7" s="19" t="str">
        <x:v>Not Started</x:v>
      </x:c>
      <x:c r="F7" s="19" t="str"/>
      <x:c r="G7" s="19" t="str"/>
      <x:c r="H7" s="19" t="str"/>
    </x:row>
    <x:row r="8">
      <x:c r="A8" s="19" t="str">
        <x:v>Phase 1 - Audit</x:v>
      </x:c>
      <x:c r="B8" s="19" t="str">
        <x:v>Routes</x:v>
      </x:c>
      <x:c r="C8" s="19" t="str">
        <x:v>Audit web.php and route names</x:v>
      </x:c>
      <x:c r="D8" s="19" t="str">
        <x:v>High</x:v>
      </x:c>
      <x:c r="E8" s="19" t="str">
        <x:v>Not Started</x:v>
      </x:c>
      <x:c r="F8" s="19" t="str"/>
      <x:c r="G8" s="19" t="str"/>
      <x:c r="H8" s="19" t="str"/>
    </x:row>
    <x:row r="9">
      <x:c r="A9" s="19" t="str">
        <x:v>Phase 1 - Audit</x:v>
      </x:c>
      <x:c r="B9" s="19" t="str">
        <x:v>Controllers</x:v>
      </x:c>
      <x:c r="C9" s="19" t="str">
        <x:v>Audit controllers</x:v>
      </x:c>
      <x:c r="D9" s="19" t="str">
        <x:v>High</x:v>
      </x:c>
      <x:c r="E9" s="19" t="str">
        <x:v>Not Started</x:v>
      </x:c>
      <x:c r="F9" s="19" t="str"/>
      <x:c r="G9" s="19" t="str"/>
      <x:c r="H9" s="19" t="str"/>
    </x:row>
    <x:row r="10">
      <x:c r="A10" s="19" t="str">
        <x:v>Phase 1 - Audit</x:v>
      </x:c>
      <x:c r="B10" s="19" t="str">
        <x:v>Views</x:v>
      </x:c>
      <x:c r="C10" s="19" t="str">
        <x:v>Audit Blade views</x:v>
      </x:c>
      <x:c r="D10" s="19" t="str">
        <x:v>High</x:v>
      </x:c>
      <x:c r="E10" s="19" t="str">
        <x:v>Not Started</x:v>
      </x:c>
      <x:c r="F10" s="19" t="str"/>
      <x:c r="G10" s="19" t="str"/>
      <x:c r="H10" s="19" t="str"/>
    </x:row>
    <x:row r="11">
      <x:c r="A11" s="19" t="str">
        <x:v>Phase 1 - Audit</x:v>
      </x:c>
      <x:c r="B11" s="19" t="str">
        <x:v>Access</x:v>
      </x:c>
      <x:c r="C11" s="19" t="str">
        <x:v>Audit permissions/modules</x:v>
      </x:c>
      <x:c r="D11" s="19" t="str">
        <x:v>High</x:v>
      </x:c>
      <x:c r="E11" s="19" t="str">
        <x:v>Not Started</x:v>
      </x:c>
      <x:c r="F11" s="19" t="str"/>
      <x:c r="G11" s="19" t="str"/>
      <x:c r="H11" s="19" t="str"/>
    </x:row>
    <x:row r="12">
      <x:c r="A12" s="19" t="str">
        <x:v>Phase 1 - Audit</x:v>
      </x:c>
      <x:c r="B12" s="19" t="str">
        <x:v>Workflow</x:v>
      </x:c>
      <x:c r="C12" s="19" t="str">
        <x:v>Audit status usage</x:v>
      </x:c>
      <x:c r="D12" s="19" t="str">
        <x:v>High</x:v>
      </x:c>
      <x:c r="E12" s="19" t="str">
        <x:v>Not Started</x:v>
      </x:c>
      <x:c r="F12" s="19" t="str"/>
      <x:c r="G12" s="19" t="str"/>
      <x:c r="H12" s="19" t="str"/>
    </x:row>
    <x:row r="13">
      <x:c r="A13" s="19" t="str">
        <x:v>Phase 2 - Status</x:v>
      </x:c>
      <x:c r="B13" s="19" t="str">
        <x:v>Status</x:v>
      </x:c>
      <x:c r="C13" s="19" t="str">
        <x:v>Create legacy-to-new status mapping</x:v>
      </x:c>
      <x:c r="D13" s="19" t="str">
        <x:v>High</x:v>
      </x:c>
      <x:c r="E13" s="19" t="str">
        <x:v>Not Started</x:v>
      </x:c>
      <x:c r="F13" s="19" t="str"/>
      <x:c r="G13" s="19" t="str"/>
      <x:c r="H13" s="19" t="str"/>
    </x:row>
    <x:row r="14">
      <x:c r="A14" s="19" t="str">
        <x:v>Phase 2 - Status</x:v>
      </x:c>
      <x:c r="B14" s="19" t="str">
        <x:v>Status</x:v>
      </x:c>
      <x:c r="C14" s="19" t="str">
        <x:v>Create enum/config statuses</x:v>
      </x:c>
      <x:c r="D14" s="19" t="str">
        <x:v>High</x:v>
      </x:c>
      <x:c r="E14" s="19" t="str">
        <x:v>Not Started</x:v>
      </x:c>
      <x:c r="F14" s="19" t="str"/>
      <x:c r="G14" s="19" t="str"/>
      <x:c r="H14" s="19" t="str"/>
    </x:row>
    <x:row r="15">
      <x:c r="A15" s="19" t="str">
        <x:v>Phase 2 - Status</x:v>
      </x:c>
      <x:c r="B15" s="19" t="str">
        <x:v>Database</x:v>
      </x:c>
      <x:c r="C15" s="19" t="str">
        <x:v>Convert risky enum columns to string if needed</x:v>
      </x:c>
      <x:c r="D15" s="19" t="str">
        <x:v>High</x:v>
      </x:c>
      <x:c r="E15" s="19" t="str">
        <x:v>Not Started</x:v>
      </x:c>
      <x:c r="F15" s="19" t="str"/>
      <x:c r="G15" s="19" t="str"/>
      <x:c r="H15" s="19" t="str"/>
    </x:row>
    <x:row r="16">
      <x:c r="A16" s="19" t="str">
        <x:v>Phase 2 - Status</x:v>
      </x:c>
      <x:c r="B16" s="19" t="str">
        <x:v>UI</x:v>
      </x:c>
      <x:c r="C16" s="19" t="str">
        <x:v>Update badges, filters, dashboard queries</x:v>
      </x:c>
      <x:c r="D16" s="19" t="str">
        <x:v>High</x:v>
      </x:c>
      <x:c r="E16" s="19" t="str">
        <x:v>Not Started</x:v>
      </x:c>
      <x:c r="F16" s="19" t="str"/>
      <x:c r="G16" s="19" t="str"/>
      <x:c r="H16" s="19" t="str"/>
    </x:row>
    <x:row r="17">
      <x:c r="A17" s="19" t="str">
        <x:v>Phase 3 - Inquiry</x:v>
      </x:c>
      <x:c r="B17" s="19" t="str">
        <x:v>Inquiry</x:v>
      </x:c>
      <x:c r="C17" s="19" t="str">
        <x:v>Require customer/agent relation</x:v>
      </x:c>
      <x:c r="D17" s="19" t="str">
        <x:v>High</x:v>
      </x:c>
      <x:c r="E17" s="19" t="str">
        <x:v>Not Started</x:v>
      </x:c>
      <x:c r="F17" s="19" t="str"/>
      <x:c r="G17" s="19" t="str"/>
      <x:c r="H17" s="19" t="str"/>
    </x:row>
    <x:row r="18">
      <x:c r="A18" s="19" t="str">
        <x:v>Phase 3 - Inquiry</x:v>
      </x:c>
      <x:c r="B18" s="19" t="str">
        <x:v>Inquiry</x:v>
      </x:c>
      <x:c r="C18" s="19" t="str">
        <x:v>Complete source options</x:v>
      </x:c>
      <x:c r="D18" s="19" t="str">
        <x:v>Medium</x:v>
      </x:c>
      <x:c r="E18" s="19" t="str">
        <x:v>Not Started</x:v>
      </x:c>
      <x:c r="F18" s="19" t="str"/>
      <x:c r="G18" s="19" t="str"/>
      <x:c r="H18" s="19" t="str"/>
    </x:row>
    <x:row r="19">
      <x:c r="A19" s="19" t="str">
        <x:v>Phase 3 - Inquiry</x:v>
      </x:c>
      <x:c r="B19" s="19" t="str">
        <x:v>Inquiry</x:v>
      </x:c>
      <x:c r="C19" s="19" t="str">
        <x:v>Add/verify follow-up history</x:v>
      </x:c>
      <x:c r="D19" s="19" t="str">
        <x:v>High</x:v>
      </x:c>
      <x:c r="E19" s="19" t="str">
        <x:v>Not Started</x:v>
      </x:c>
      <x:c r="F19" s="19" t="str"/>
      <x:c r="G19" s="19" t="str"/>
      <x:c r="H19" s="19" t="str"/>
    </x:row>
    <x:row r="20">
      <x:c r="A20" s="19" t="str">
        <x:v>Phase 3 - Inquiry</x:v>
      </x:c>
      <x:c r="B20" s="19" t="str">
        <x:v>Inquiry</x:v>
      </x:c>
      <x:c r="C20" s="19" t="str">
        <x:v>Add Create Itinerary action</x:v>
      </x:c>
      <x:c r="D20" s="19" t="str">
        <x:v>High</x:v>
      </x:c>
      <x:c r="E20" s="19" t="str">
        <x:v>Not Started</x:v>
      </x:c>
      <x:c r="F20" s="19" t="str"/>
      <x:c r="G20" s="19" t="str"/>
      <x:c r="H20" s="19" t="str"/>
    </x:row>
    <x:row r="21">
      <x:c r="A21" s="19" t="str">
        <x:v>Phase 3 - Inquiry</x:v>
      </x:c>
      <x:c r="B21" s="19" t="str">
        <x:v>Inquiry</x:v>
      </x:c>
      <x:c r="C21" s="19" t="str">
        <x:v>Lock final inquiry statuses</x:v>
      </x:c>
      <x:c r="D21" s="19" t="str">
        <x:v>High</x:v>
      </x:c>
      <x:c r="E21" s="19" t="str">
        <x:v>Not Started</x:v>
      </x:c>
      <x:c r="F21" s="19" t="str"/>
      <x:c r="G21" s="19" t="str"/>
      <x:c r="H21" s="19" t="str"/>
    </x:row>
    <x:row r="22">
      <x:c r="A22" s="19" t="str">
        <x:v>Phase 4 - Itinerary</x:v>
      </x:c>
      <x:c r="B22" s="19" t="str">
        <x:v>Itinerary</x:v>
      </x:c>
      <x:c r="C22" s="19" t="str">
        <x:v>Ensure inquiry/customer relation</x:v>
      </x:c>
      <x:c r="D22" s="19" t="str">
        <x:v>High</x:v>
      </x:c>
      <x:c r="E22" s="19" t="str">
        <x:v>Not Started</x:v>
      </x:c>
      <x:c r="F22" s="19" t="str"/>
      <x:c r="G22" s="19" t="str"/>
      <x:c r="H22" s="19" t="str"/>
    </x:row>
    <x:row r="23">
      <x:c r="A23" s="19" t="str">
        <x:v>Phase 4 - Itinerary</x:v>
      </x:c>
      <x:c r="B23" s="19" t="str">
        <x:v>Itinerary</x:v>
      </x:c>
      <x:c r="C23" s="19" t="str">
        <x:v>Ensure chargeable/include flags</x:v>
      </x:c>
      <x:c r="D23" s="19" t="str">
        <x:v>High</x:v>
      </x:c>
      <x:c r="E23" s="19" t="str">
        <x:v>Not Started</x:v>
      </x:c>
      <x:c r="F23" s="19" t="str"/>
      <x:c r="G23" s="19" t="str"/>
      <x:c r="H23" s="19" t="str"/>
    </x:row>
    <x:row r="24">
      <x:c r="A24" s="19" t="str">
        <x:v>Phase 4 - Itinerary</x:v>
      </x:c>
      <x:c r="B24" s="19" t="str">
        <x:v>Itinerary</x:v>
      </x:c>
      <x:c r="C24" s="19" t="str">
        <x:v>Verify duplicate and PDF</x:v>
      </x:c>
      <x:c r="D24" s="19" t="str">
        <x:v>Medium</x:v>
      </x:c>
      <x:c r="E24" s="19" t="str">
        <x:v>Not Started</x:v>
      </x:c>
      <x:c r="F24" s="19" t="str"/>
      <x:c r="G24" s="19" t="str"/>
      <x:c r="H24" s="19" t="str"/>
    </x:row>
    <x:row r="25">
      <x:c r="A25" s="19" t="str">
        <x:v>Phase 4 - Itinerary</x:v>
      </x:c>
      <x:c r="B25" s="19" t="str">
        <x:v>Itinerary</x:v>
      </x:c>
      <x:c r="C25" s="19" t="str">
        <x:v>Generate quotation from itinerary</x:v>
      </x:c>
      <x:c r="D25" s="19" t="str">
        <x:v>High</x:v>
      </x:c>
      <x:c r="E25" s="19" t="str">
        <x:v>Not Started</x:v>
      </x:c>
      <x:c r="F25" s="19" t="str"/>
      <x:c r="G25" s="19" t="str"/>
      <x:c r="H25" s="19" t="str"/>
    </x:row>
    <x:row r="26">
      <x:c r="A26" s="19" t="str">
        <x:v>Phase 4 - Itinerary</x:v>
      </x:c>
      <x:c r="B26" s="19" t="str">
        <x:v>Itinerary</x:v>
      </x:c>
      <x:c r="C26" s="19" t="str">
        <x:v>Lock converted itinerary</x:v>
      </x:c>
      <x:c r="D26" s="19" t="str">
        <x:v>High</x:v>
      </x:c>
      <x:c r="E26" s="19" t="str">
        <x:v>Not Started</x:v>
      </x:c>
      <x:c r="F26" s="19" t="str"/>
      <x:c r="G26" s="19" t="str"/>
      <x:c r="H26" s="19" t="str"/>
    </x:row>
    <x:row r="27">
      <x:c r="A27" s="19" t="str">
        <x:v>Phase 5 - Quotation</x:v>
      </x:c>
      <x:c r="B27" s="19" t="str">
        <x:v>Quotation</x:v>
      </x:c>
      <x:c r="C27" s="19" t="str">
        <x:v>Verify versioning</x:v>
      </x:c>
      <x:c r="D27" s="19" t="str">
        <x:v>High</x:v>
      </x:c>
      <x:c r="E27" s="19" t="str">
        <x:v>Not Started</x:v>
      </x:c>
      <x:c r="F27" s="19" t="str"/>
      <x:c r="G27" s="19" t="str"/>
      <x:c r="H27" s="19" t="str"/>
    </x:row>
    <x:row r="28">
      <x:c r="A28" s="19" t="str">
        <x:v>Phase 5 - Quotation</x:v>
      </x:c>
      <x:c r="B28" s="19" t="str">
        <x:v>Quotation</x:v>
      </x:c>
      <x:c r="C28" s="19" t="str">
        <x:v>Snapshot contract rate and markup</x:v>
      </x:c>
      <x:c r="D28" s="19" t="str">
        <x:v>High</x:v>
      </x:c>
      <x:c r="E28" s="19" t="str">
        <x:v>Not Started</x:v>
      </x:c>
      <x:c r="F28" s="19" t="str"/>
      <x:c r="G28" s="19" t="str"/>
      <x:c r="H28" s="19" t="str"/>
    </x:row>
    <x:row r="29">
      <x:c r="A29" s="19" t="str">
        <x:v>Phase 5 - Quotation</x:v>
      </x:c>
      <x:c r="B29" s="19" t="str">
        <x:v>Quotation</x:v>
      </x:c>
      <x:c r="C29" s="19" t="str">
        <x:v>Validate total/final amount</x:v>
      </x:c>
      <x:c r="D29" s="19" t="str">
        <x:v>High</x:v>
      </x:c>
      <x:c r="E29" s="19" t="str">
        <x:v>Not Started</x:v>
      </x:c>
      <x:c r="F29" s="19" t="str"/>
      <x:c r="G29" s="19" t="str"/>
      <x:c r="H29" s="19" t="str"/>
    </x:row>
    <x:row r="30">
      <x:c r="A30" s="19" t="str">
        <x:v>Phase 5 - Quotation</x:v>
      </x:c>
      <x:c r="B30" s="19" t="str">
        <x:v>Quotation</x:v>
      </x:c>
      <x:c r="C30" s="19" t="str">
        <x:v>Revision flow without overwriting accepted quotation</x:v>
      </x:c>
      <x:c r="D30" s="19" t="str">
        <x:v>High</x:v>
      </x:c>
      <x:c r="E30" s="19" t="str">
        <x:v>Not Started</x:v>
      </x:c>
      <x:c r="F30" s="19" t="str"/>
      <x:c r="G30" s="19" t="str"/>
      <x:c r="H30" s="19" t="str"/>
    </x:row>
    <x:row r="31">
      <x:c r="A31" s="19" t="str">
        <x:v>Phase 5 - Quotation</x:v>
      </x:c>
      <x:c r="B31" s="19" t="str">
        <x:v>Quotation</x:v>
      </x:c>
      <x:c r="C31" s="19" t="str">
        <x:v>Lock accepted/converted quotation</x:v>
      </x:c>
      <x:c r="D31" s="19" t="str">
        <x:v>High</x:v>
      </x:c>
      <x:c r="E31" s="19" t="str">
        <x:v>Not Started</x:v>
      </x:c>
      <x:c r="F31" s="19" t="str"/>
      <x:c r="G31" s="19" t="str"/>
      <x:c r="H31" s="19" t="str"/>
    </x:row>
    <x:row r="32">
      <x:c r="A32" s="19" t="str">
        <x:v>Phase 6 - Validation</x:v>
      </x:c>
      <x:c r="B32" s="19" t="str">
        <x:v>Validation</x:v>
      </x:c>
      <x:c r="C32" s="19" t="str">
        <x:v>Dedicated validation page</x:v>
      </x:c>
      <x:c r="D32" s="19" t="str">
        <x:v>High</x:v>
      </x:c>
      <x:c r="E32" s="19" t="str">
        <x:v>Not Started</x:v>
      </x:c>
      <x:c r="F32" s="19" t="str"/>
      <x:c r="G32" s="19" t="str"/>
      <x:c r="H32" s="19" t="str"/>
    </x:row>
    <x:row r="33">
      <x:c r="A33" s="19" t="str">
        <x:v>Phase 6 - Validation</x:v>
      </x:c>
      <x:c r="B33" s="19" t="str">
        <x:v>Validation</x:v>
      </x:c>
      <x:c r="C33" s="19" t="str">
        <x:v>Item detail modal</x:v>
      </x:c>
      <x:c r="D33" s="19" t="str">
        <x:v>High</x:v>
      </x:c>
      <x:c r="E33" s="19" t="str">
        <x:v>Not Started</x:v>
      </x:c>
      <x:c r="F33" s="19" t="str"/>
      <x:c r="G33" s="19" t="str"/>
      <x:c r="H33" s="19" t="str"/>
    </x:row>
    <x:row r="34">
      <x:c r="A34" s="19" t="str">
        <x:v>Phase 6 - Validation</x:v>
      </x:c>
      <x:c r="B34" s="19" t="str">
        <x:v>Validation</x:v>
      </x:c>
      <x:c r="C34" s="19" t="str">
        <x:v>Rate and markup validation</x:v>
      </x:c>
      <x:c r="D34" s="19" t="str">
        <x:v>High</x:v>
      </x:c>
      <x:c r="E34" s="19" t="str">
        <x:v>Not Started</x:v>
      </x:c>
      <x:c r="F34" s="19" t="str"/>
      <x:c r="G34" s="19" t="str"/>
      <x:c r="H34" s="19" t="str"/>
    </x:row>
    <x:row r="35">
      <x:c r="A35" s="19" t="str">
        <x:v>Phase 6 - Validation</x:v>
      </x:c>
      <x:c r="B35" s="19" t="str">
        <x:v>Validation</x:v>
      </x:c>
      <x:c r="C35" s="19" t="str">
        <x:v>Block send if invalid</x:v>
      </x:c>
      <x:c r="D35" s="19" t="str">
        <x:v>High</x:v>
      </x:c>
      <x:c r="E35" s="19" t="str">
        <x:v>Not Started</x:v>
      </x:c>
      <x:c r="F35" s="19" t="str"/>
      <x:c r="G35" s="19" t="str"/>
      <x:c r="H35" s="19" t="str"/>
    </x:row>
    <x:row r="36">
      <x:c r="A36" s="19" t="str">
        <x:v>Phase 6 - Validation</x:v>
      </x:c>
      <x:c r="B36" s="19" t="str">
        <x:v>Validation</x:v>
      </x:c>
      <x:c r="C36" s="19" t="str">
        <x:v>Validation log</x:v>
      </x:c>
      <x:c r="D36" s="19" t="str">
        <x:v>Medium</x:v>
      </x:c>
      <x:c r="E36" s="19" t="str">
        <x:v>Not Started</x:v>
      </x:c>
      <x:c r="F36" s="19" t="str"/>
      <x:c r="G36" s="19" t="str"/>
      <x:c r="H36" s="19" t="str"/>
    </x:row>
    <x:row r="37">
      <x:c r="A37" s="19" t="str">
        <x:v>Phase 7 - Booking</x:v>
      </x:c>
      <x:c r="B37" s="19" t="str">
        <x:v>Booking</x:v>
      </x:c>
      <x:c r="C37" s="19" t="str">
        <x:v>Convert only from accepted quotation</x:v>
      </x:c>
      <x:c r="D37" s="19" t="str">
        <x:v>High</x:v>
      </x:c>
      <x:c r="E37" s="19" t="str">
        <x:v>Not Started</x:v>
      </x:c>
      <x:c r="F37" s="19" t="str"/>
      <x:c r="G37" s="19" t="str"/>
      <x:c r="H37" s="19" t="str"/>
    </x:row>
    <x:row r="38">
      <x:c r="A38" s="19" t="str">
        <x:v>Phase 7 - Booking</x:v>
      </x:c>
      <x:c r="B38" s="19" t="str">
        <x:v>Booking</x:v>
      </x:c>
      <x:c r="C38" s="19" t="str">
        <x:v>Store quotation/itinerary reference</x:v>
      </x:c>
      <x:c r="D38" s="19" t="str">
        <x:v>High</x:v>
      </x:c>
      <x:c r="E38" s="19" t="str">
        <x:v>Not Started</x:v>
      </x:c>
      <x:c r="F38" s="19" t="str"/>
      <x:c r="G38" s="19" t="str"/>
      <x:c r="H38" s="19" t="str"/>
    </x:row>
    <x:row r="39">
      <x:c r="A39" s="19" t="str">
        <x:v>Phase 7 - Booking</x:v>
      </x:c>
      <x:c r="B39" s="19" t="str">
        <x:v>Booking</x:v>
      </x:c>
      <x:c r="C39" s="19" t="str">
        <x:v>Create booking items/snapshot</x:v>
      </x:c>
      <x:c r="D39" s="19" t="str">
        <x:v>High</x:v>
      </x:c>
      <x:c r="E39" s="19" t="str">
        <x:v>Not Started</x:v>
      </x:c>
      <x:c r="F39" s="19" t="str"/>
      <x:c r="G39" s="19" t="str"/>
      <x:c r="H39" s="19" t="str"/>
    </x:row>
    <x:row r="40">
      <x:c r="A40" s="19" t="str">
        <x:v>Phase 7 - Booking</x:v>
      </x:c>
      <x:c r="B40" s="19" t="str">
        <x:v>Booking</x:v>
      </x:c>
      <x:c r="C40" s="19" t="str">
        <x:v>Generate invoice</x:v>
      </x:c>
      <x:c r="D40" s="19" t="str">
        <x:v>High</x:v>
      </x:c>
      <x:c r="E40" s="19" t="str">
        <x:v>Not Started</x:v>
      </x:c>
      <x:c r="F40" s="19" t="str"/>
      <x:c r="G40" s="19" t="str"/>
      <x:c r="H40" s="19" t="str"/>
    </x:row>
    <x:row r="41">
      <x:c r="A41" s="19" t="str">
        <x:v>Phase 7 - Booking</x:v>
      </x:c>
      <x:c r="B41" s="19" t="str">
        <x:v>Booking</x:v>
      </x:c>
      <x:c r="C41" s="19" t="str">
        <x:v>Close only after settlement</x:v>
      </x:c>
      <x:c r="D41" s="19" t="str">
        <x:v>High</x:v>
      </x:c>
      <x:c r="E41" s="19" t="str">
        <x:v>Not Started</x:v>
      </x:c>
      <x:c r="F41" s="19" t="str"/>
      <x:c r="G41" s="19" t="str"/>
      <x:c r="H41" s="19" t="str"/>
    </x:row>
    <x:row r="42">
      <x:c r="A42" s="19" t="str">
        <x:v>Phase 8 - Finance</x:v>
      </x:c>
      <x:c r="B42" s="19" t="str">
        <x:v>Invoice</x:v>
      </x:c>
      <x:c r="C42" s="19" t="str">
        <x:v>Support DP invoice</x:v>
      </x:c>
      <x:c r="D42" s="19" t="str">
        <x:v>High</x:v>
      </x:c>
      <x:c r="E42" s="19" t="str">
        <x:v>Not Started</x:v>
      </x:c>
      <x:c r="F42" s="19" t="str"/>
      <x:c r="G42" s="19" t="str"/>
      <x:c r="H42" s="19" t="str"/>
    </x:row>
    <x:row r="43">
      <x:c r="A43" s="19" t="str">
        <x:v>Phase 8 - Finance</x:v>
      </x:c>
      <x:c r="B43" s="19" t="str">
        <x:v>Invoice</x:v>
      </x:c>
      <x:c r="C43" s="19" t="str">
        <x:v>Support balance invoice</x:v>
      </x:c>
      <x:c r="D43" s="19" t="str">
        <x:v>High</x:v>
      </x:c>
      <x:c r="E43" s="19" t="str">
        <x:v>Not Started</x:v>
      </x:c>
      <x:c r="F43" s="19" t="str"/>
      <x:c r="G43" s="19" t="str"/>
      <x:c r="H43" s="19" t="str"/>
    </x:row>
    <x:row r="44">
      <x:c r="A44" s="19" t="str">
        <x:v>Phase 8 - Finance</x:v>
      </x:c>
      <x:c r="B44" s="19" t="str">
        <x:v>Payment</x:v>
      </x:c>
      <x:c r="C44" s="19" t="str">
        <x:v>Partial payment</x:v>
      </x:c>
      <x:c r="D44" s="19" t="str">
        <x:v>High</x:v>
      </x:c>
      <x:c r="E44" s="19" t="str">
        <x:v>Not Started</x:v>
      </x:c>
      <x:c r="F44" s="19" t="str"/>
      <x:c r="G44" s="19" t="str"/>
      <x:c r="H44" s="19" t="str"/>
    </x:row>
    <x:row r="45">
      <x:c r="A45" s="19" t="str">
        <x:v>Phase 8 - Finance</x:v>
      </x:c>
      <x:c r="B45" s="19" t="str">
        <x:v>Payment</x:v>
      </x:c>
      <x:c r="C45" s="19" t="str">
        <x:v>Overpayment handling</x:v>
      </x:c>
      <x:c r="D45" s="19" t="str">
        <x:v>High</x:v>
      </x:c>
      <x:c r="E45" s="19" t="str">
        <x:v>Not Started</x:v>
      </x:c>
      <x:c r="F45" s="19" t="str"/>
      <x:c r="G45" s="19" t="str"/>
      <x:c r="H45" s="19" t="str"/>
    </x:row>
    <x:row r="46">
      <x:c r="A46" s="19" t="str">
        <x:v>Phase 8 - Finance</x:v>
      </x:c>
      <x:c r="B46" s="19" t="str">
        <x:v>Payment</x:v>
      </x:c>
      <x:c r="C46" s="19" t="str">
        <x:v>Refund/deposit handling</x:v>
      </x:c>
      <x:c r="D46" s="19" t="str">
        <x:v>High</x:v>
      </x:c>
      <x:c r="E46" s="19" t="str">
        <x:v>Not Started</x:v>
      </x:c>
      <x:c r="F46" s="19" t="str"/>
      <x:c r="G46" s="19" t="str"/>
      <x:c r="H46" s="19" t="str"/>
    </x:row>
    <x:row r="47">
      <x:c r="A47" s="19" t="str">
        <x:v>Phase 9 - Operation</x:v>
      </x:c>
      <x:c r="B47" s="19" t="str">
        <x:v>Operation</x:v>
      </x:c>
      <x:c r="C47" s="19" t="str">
        <x:v>Vendor confirmation</x:v>
      </x:c>
      <x:c r="D47" s="19" t="str">
        <x:v>Medium</x:v>
      </x:c>
      <x:c r="E47" s="19" t="str">
        <x:v>Not Started</x:v>
      </x:c>
      <x:c r="F47" s="19" t="str"/>
      <x:c r="G47" s="19" t="str"/>
      <x:c r="H47" s="19" t="str"/>
    </x:row>
    <x:row r="48">
      <x:c r="A48" s="19" t="str">
        <x:v>Phase 9 - Operation</x:v>
      </x:c>
      <x:c r="B48" s="19" t="str">
        <x:v>Operation</x:v>
      </x:c>
      <x:c r="C48" s="19" t="str">
        <x:v>Driver/guide assignment</x:v>
      </x:c>
      <x:c r="D48" s="19" t="str">
        <x:v>Medium</x:v>
      </x:c>
      <x:c r="E48" s="19" t="str">
        <x:v>Not Started</x:v>
      </x:c>
      <x:c r="F48" s="19" t="str"/>
      <x:c r="G48" s="19" t="str"/>
      <x:c r="H48" s="19" t="str"/>
    </x:row>
    <x:row r="49">
      <x:c r="A49" s="19" t="str">
        <x:v>Phase 9 - Operation</x:v>
      </x:c>
      <x:c r="B49" s="19" t="str">
        <x:v>Operation</x:v>
      </x:c>
      <x:c r="C49" s="19" t="str">
        <x:v>SPK generation</x:v>
      </x:c>
      <x:c r="D49" s="19" t="str">
        <x:v>Medium</x:v>
      </x:c>
      <x:c r="E49" s="19" t="str">
        <x:v>Not Started</x:v>
      </x:c>
      <x:c r="F49" s="19" t="str"/>
      <x:c r="G49" s="19" t="str"/>
      <x:c r="H49" s="19" t="str"/>
    </x:row>
    <x:row r="50">
      <x:c r="A50" s="19" t="str">
        <x:v>Phase 9 - Operation</x:v>
      </x:c>
      <x:c r="B50" s="19" t="str">
        <x:v>Operation</x:v>
      </x:c>
      <x:c r="C50" s="19" t="str">
        <x:v>Service started/completed</x:v>
      </x:c>
      <x:c r="D50" s="19" t="str">
        <x:v>High</x:v>
      </x:c>
      <x:c r="E50" s="19" t="str">
        <x:v>Not Started</x:v>
      </x:c>
      <x:c r="F50" s="19" t="str"/>
      <x:c r="G50" s="19" t="str"/>
      <x:c r="H50" s="19" t="str"/>
    </x:row>
    <x:row r="51">
      <x:c r="A51" s="19" t="str">
        <x:v>Phase 9 - Operation</x:v>
      </x:c>
      <x:c r="B51" s="19" t="str">
        <x:v>Operation</x:v>
      </x:c>
      <x:c r="C51" s="19" t="str">
        <x:v>Issue report</x:v>
      </x:c>
      <x:c r="D51" s="19" t="str">
        <x:v>Medium</x:v>
      </x:c>
      <x:c r="E51" s="19" t="str">
        <x:v>Not Started</x:v>
      </x:c>
      <x:c r="F51" s="19" t="str"/>
      <x:c r="G51" s="19" t="str"/>
      <x:c r="H51" s="19" t="str"/>
    </x:row>
    <x:row r="52">
      <x:c r="A52" s="19" t="str">
        <x:v>Phase 10 - Settlement</x:v>
      </x:c>
      <x:c r="B52" s="19" t="str">
        <x:v>Adjustment</x:v>
      </x:c>
      <x:c r="C52" s="19" t="str">
        <x:v>Adjustment approval</x:v>
      </x:c>
      <x:c r="D52" s="19" t="str">
        <x:v>High</x:v>
      </x:c>
      <x:c r="E52" s="19" t="str">
        <x:v>Not Started</x:v>
      </x:c>
      <x:c r="F52" s="19" t="str"/>
      <x:c r="G52" s="19" t="str"/>
      <x:c r="H52" s="19" t="str"/>
    </x:row>
    <x:row r="53">
      <x:c r="A53" s="19" t="str">
        <x:v>Phase 10 - Settlement</x:v>
      </x:c>
      <x:c r="B53" s="19" t="str">
        <x:v>Adjustment</x:v>
      </x:c>
      <x:c r="C53" s="19" t="str">
        <x:v>Additional invoice/refund/deposit result</x:v>
      </x:c>
      <x:c r="D53" s="19" t="str">
        <x:v>High</x:v>
      </x:c>
      <x:c r="E53" s="19" t="str">
        <x:v>Not Started</x:v>
      </x:c>
      <x:c r="F53" s="19" t="str"/>
      <x:c r="G53" s="19" t="str"/>
      <x:c r="H53" s="19" t="str"/>
    </x:row>
    <x:row r="54">
      <x:c r="A54" s="19" t="str">
        <x:v>Phase 10 - Settlement</x:v>
      </x:c>
      <x:c r="B54" s="19" t="str">
        <x:v>Settlement</x:v>
      </x:c>
      <x:c r="C54" s="19" t="str">
        <x:v>Settlement review page</x:v>
      </x:c>
      <x:c r="D54" s="19" t="str">
        <x:v>High</x:v>
      </x:c>
      <x:c r="E54" s="19" t="str">
        <x:v>Not Started</x:v>
      </x:c>
      <x:c r="F54" s="19" t="str"/>
      <x:c r="G54" s="19" t="str"/>
      <x:c r="H54" s="19" t="str"/>
    </x:row>
    <x:row r="55">
      <x:c r="A55" s="19" t="str">
        <x:v>Phase 10 - Settlement</x:v>
      </x:c>
      <x:c r="B55" s="19" t="str">
        <x:v>Settlement</x:v>
      </x:c>
      <x:c r="C55" s="19" t="str">
        <x:v>Close booking only when settled</x:v>
      </x:c>
      <x:c r="D55" s="19" t="str">
        <x:v>High</x:v>
      </x:c>
      <x:c r="E55" s="19" t="str">
        <x:v>Not Started</x:v>
      </x:c>
      <x:c r="F55" s="19" t="str"/>
      <x:c r="G55" s="19" t="str"/>
      <x:c r="H55" s="19" t="str"/>
    </x:row>
    <x:row r="56">
      <x:c r="A56" s="19" t="str">
        <x:v>Phase 11 - Production</x:v>
      </x:c>
      <x:c r="B56" s="19" t="str">
        <x:v>Production</x:v>
      </x:c>
      <x:c r="C56" s="19" t="str">
        <x:v>Route test</x:v>
      </x:c>
      <x:c r="D56" s="19" t="str">
        <x:v>High</x:v>
      </x:c>
      <x:c r="E56" s="19" t="str">
        <x:v>Not Started</x:v>
      </x:c>
      <x:c r="F56" s="19" t="str"/>
      <x:c r="G56" s="19" t="str"/>
      <x:c r="H56" s="19" t="str"/>
    </x:row>
    <x:row r="57">
      <x:c r="A57" s="19" t="str">
        <x:v>Phase 11 - Production</x:v>
      </x:c>
      <x:c r="B57" s="19" t="str">
        <x:v>Access</x:v>
      </x:c>
      <x:c r="C57" s="19" t="str">
        <x:v>Permission test</x:v>
      </x:c>
      <x:c r="D57" s="19" t="str">
        <x:v>High</x:v>
      </x:c>
      <x:c r="E57" s="19" t="str">
        <x:v>Not Started</x:v>
      </x:c>
      <x:c r="F57" s="19" t="str"/>
      <x:c r="G57" s="19" t="str"/>
      <x:c r="H57" s="19" t="str"/>
    </x:row>
    <x:row r="58">
      <x:c r="A58" s="19" t="str">
        <x:v>Phase 11 - Production</x:v>
      </x:c>
      <x:c r="B58" s="19" t="str">
        <x:v>Frontend</x:v>
      </x:c>
      <x:c r="C58" s="19" t="str">
        <x:v>Vite build</x:v>
      </x:c>
      <x:c r="D58" s="19" t="str">
        <x:v>High</x:v>
      </x:c>
      <x:c r="E58" s="19" t="str">
        <x:v>Not Started</x:v>
      </x:c>
      <x:c r="F58" s="19" t="str"/>
      <x:c r="G58" s="19" t="str"/>
      <x:c r="H58" s="19" t="str"/>
    </x:row>
    <x:row r="59">
      <x:c r="A59" s="19" t="str">
        <x:v>Phase 11 - Production</x:v>
      </x:c>
      <x:c r="B59" s="19" t="str">
        <x:v>Storage</x:v>
      </x:c>
      <x:c r="C59" s="19" t="str">
        <x:v>Storage link</x:v>
      </x:c>
      <x:c r="D59" s="19" t="str">
        <x:v>Medium</x:v>
      </x:c>
      <x:c r="E59" s="19" t="str">
        <x:v>Not Started</x:v>
      </x:c>
      <x:c r="F59" s="19" t="str"/>
      <x:c r="G59" s="19" t="str"/>
      <x:c r="H59" s="19" t="str"/>
    </x:row>
    <x:row r="60">
      <x:c r="A60" s="19" t="str">
        <x:v>Phase 11 - Production</x:v>
      </x:c>
      <x:c r="B60" s="19" t="str">
        <x:v>Scheduler</x:v>
      </x:c>
      <x:c r="C60" s="19" t="str">
        <x:v>Queue/scheduler</x:v>
      </x:c>
      <x:c r="D60" s="19" t="str">
        <x:v>Medium</x:v>
      </x:c>
      <x:c r="E60" s="19" t="str">
        <x:v>Not Started</x:v>
      </x:c>
      <x:c r="F60" s="19" t="str"/>
      <x:c r="G60" s="19" t="str"/>
      <x:c r="H60" s="19" t="str"/>
    </x:row>
    <x:row r="61">
      <x:c r="A61" s="19" t="str">
        <x:v>Phase 11 - Production</x:v>
      </x:c>
      <x:c r="B61" s="19" t="str">
        <x:v>Ops</x:v>
      </x:c>
      <x:c r="C61" s="19" t="str">
        <x:v>Backup/log review</x:v>
      </x:c>
      <x:c r="D61" s="19" t="str">
        <x:v>High</x:v>
      </x:c>
      <x:c r="E61" s="19" t="str">
        <x:v>Not Started</x:v>
      </x:c>
      <x:c r="F61" s="19" t="str"/>
      <x:c r="G61" s="19" t="str"/>
      <x:c r="H61" s="19" t="str"/>
    </x:row>
  </x:sheetData>
  <x:dataValidations count="2">
    <x:dataValidation type="list" sqref="D2:D500">
      <x:formula1>"High,Medium,Low"</x:formula1>
    </x:dataValidation>
    <x:dataValidation type="list" sqref="E2:E500">
      <x:formula1>"Not Started,In Progress,Done,Blocked,Need 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c60faca20ff4ae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9.289999961853027" hidden="0" customWidth="1"/>
    <x:col min="2" max="2" width="18.030000686645508" hidden="0" customWidth="1"/>
    <x:col min="3" max="3" width="4.710000038146973" hidden="0" customWidth="1"/>
    <x:col min="4" max="4" width="4.710000038146973" hidden="0" customWidth="1"/>
  </x:cols>
  <x:sheetData>
    <x:row r="1">
      <x:c r="A1" s="9" t="str">
        <x:v>Module</x:v>
      </x:c>
      <x:c r="B1" s="9" t="str">
        <x:v>Recommended Status</x:v>
      </x:c>
      <x:c r="C1" s="9" t="str">
        <x:v>Final?</x:v>
      </x:c>
      <x:c r="D1" s="9" t="str">
        <x:v>Notes</x:v>
      </x:c>
    </x:row>
    <x:row r="2">
      <x:c r="A2" t="str">
        <x:v>Inquiry</x:v>
      </x:c>
      <x:c r="B2" t="str">
        <x:v>new_request</x:v>
      </x:c>
      <x:c r="C2" t="str">
        <x:v>No</x:v>
      </x:c>
      <x:c r="D2" t="str"/>
    </x:row>
    <x:row r="3">
      <x:c r="A3" t="str">
        <x:v>Inquiry</x:v>
      </x:c>
      <x:c r="B3" t="str">
        <x:v>need_customer_data</x:v>
      </x:c>
      <x:c r="C3" t="str">
        <x:v>No</x:v>
      </x:c>
      <x:c r="D3" t="str"/>
    </x:row>
    <x:row r="4">
      <x:c r="A4" t="str">
        <x:v>Inquiry</x:v>
      </x:c>
      <x:c r="B4" t="str">
        <x:v>registered</x:v>
      </x:c>
      <x:c r="C4" t="str">
        <x:v>No</x:v>
      </x:c>
      <x:c r="D4" t="str"/>
    </x:row>
    <x:row r="5">
      <x:c r="A5" t="str">
        <x:v>Inquiry</x:v>
      </x:c>
      <x:c r="B5" t="str">
        <x:v>assigned</x:v>
      </x:c>
      <x:c r="C5" t="str">
        <x:v>No</x:v>
      </x:c>
      <x:c r="D5" t="str"/>
    </x:row>
    <x:row r="6">
      <x:c r="A6" t="str">
        <x:v>Inquiry</x:v>
      </x:c>
      <x:c r="B6" t="str">
        <x:v>contacted</x:v>
      </x:c>
      <x:c r="C6" t="str">
        <x:v>No</x:v>
      </x:c>
      <x:c r="D6" t="str"/>
    </x:row>
    <x:row r="7">
      <x:c r="A7" t="str">
        <x:v>Inquiry</x:v>
      </x:c>
      <x:c r="B7" t="str">
        <x:v>waiting_customer</x:v>
      </x:c>
      <x:c r="C7" t="str">
        <x:v>No</x:v>
      </x:c>
      <x:c r="D7" t="str"/>
    </x:row>
    <x:row r="8">
      <x:c r="A8" t="str">
        <x:v>Inquiry</x:v>
      </x:c>
      <x:c r="B8" t="str">
        <x:v>qualified</x:v>
      </x:c>
      <x:c r="C8" t="str">
        <x:v>No</x:v>
      </x:c>
      <x:c r="D8" t="str"/>
    </x:row>
    <x:row r="9">
      <x:c r="A9" t="str">
        <x:v>Inquiry</x:v>
      </x:c>
      <x:c r="B9" t="str">
        <x:v>unqualified</x:v>
      </x:c>
      <x:c r="C9" t="str">
        <x:v>Yes</x:v>
      </x:c>
      <x:c r="D9" t="str"/>
    </x:row>
    <x:row r="10">
      <x:c r="A10" t="str">
        <x:v>Inquiry</x:v>
      </x:c>
      <x:c r="B10" t="str">
        <x:v>itinerary_in_progress</x:v>
      </x:c>
      <x:c r="C10" t="str">
        <x:v>No</x:v>
      </x:c>
      <x:c r="D10" t="str"/>
    </x:row>
    <x:row r="11">
      <x:c r="A11" t="str">
        <x:v>Inquiry</x:v>
      </x:c>
      <x:c r="B11" t="str">
        <x:v>quotation_in_progress</x:v>
      </x:c>
      <x:c r="C11" t="str">
        <x:v>No</x:v>
      </x:c>
      <x:c r="D11" t="str"/>
    </x:row>
    <x:row r="12">
      <x:c r="A12" t="str">
        <x:v>Inquiry</x:v>
      </x:c>
      <x:c r="B12" t="str">
        <x:v>quotation_sent</x:v>
      </x:c>
      <x:c r="C12" t="str">
        <x:v>No</x:v>
      </x:c>
      <x:c r="D12" t="str"/>
    </x:row>
    <x:row r="13">
      <x:c r="A13" t="str">
        <x:v>Inquiry</x:v>
      </x:c>
      <x:c r="B13" t="str">
        <x:v>under_negotiation</x:v>
      </x:c>
      <x:c r="C13" t="str">
        <x:v>No</x:v>
      </x:c>
      <x:c r="D13" t="str"/>
    </x:row>
    <x:row r="14">
      <x:c r="A14" t="str">
        <x:v>Inquiry</x:v>
      </x:c>
      <x:c r="B14" t="str">
        <x:v>accepted</x:v>
      </x:c>
      <x:c r="C14" t="str">
        <x:v>No</x:v>
      </x:c>
      <x:c r="D14" t="str"/>
    </x:row>
    <x:row r="15">
      <x:c r="A15" t="str">
        <x:v>Inquiry</x:v>
      </x:c>
      <x:c r="B15" t="str">
        <x:v>converted_to_booking</x:v>
      </x:c>
      <x:c r="C15" t="str">
        <x:v>Yes</x:v>
      </x:c>
      <x:c r="D15" t="str"/>
    </x:row>
    <x:row r="16">
      <x:c r="A16" t="str">
        <x:v>Inquiry</x:v>
      </x:c>
      <x:c r="B16" t="str">
        <x:v>lost</x:v>
      </x:c>
      <x:c r="C16" t="str">
        <x:v>Yes</x:v>
      </x:c>
      <x:c r="D16" t="str"/>
    </x:row>
    <x:row r="17">
      <x:c r="A17" t="str">
        <x:v>Inquiry</x:v>
      </x:c>
      <x:c r="B17" t="str">
        <x:v>cancelled</x:v>
      </x:c>
      <x:c r="C17" t="str">
        <x:v>Yes</x:v>
      </x:c>
      <x:c r="D17" t="str"/>
    </x:row>
    <x:row r="18">
      <x:c r="A18" t="str">
        <x:v>Inquiry</x:v>
      </x:c>
      <x:c r="B18" t="str">
        <x:v>expired</x:v>
      </x:c>
      <x:c r="C18" t="str">
        <x:v>Yes</x:v>
      </x:c>
      <x:c r="D18" t="str"/>
    </x:row>
    <x:row r="19">
      <x:c r="A19" t="str">
        <x:v>Itinerary</x:v>
      </x:c>
      <x:c r="B19" t="str">
        <x:v>draft</x:v>
      </x:c>
      <x:c r="C19" t="str">
        <x:v>No</x:v>
      </x:c>
      <x:c r="D19" t="str"/>
    </x:row>
    <x:row r="20">
      <x:c r="A20" t="str">
        <x:v>Itinerary</x:v>
      </x:c>
      <x:c r="B20" t="str">
        <x:v>in_review</x:v>
      </x:c>
      <x:c r="C20" t="str">
        <x:v>No</x:v>
      </x:c>
      <x:c r="D20" t="str"/>
    </x:row>
    <x:row r="21">
      <x:c r="A21" t="str">
        <x:v>Itinerary</x:v>
      </x:c>
      <x:c r="B21" t="str">
        <x:v>approved</x:v>
      </x:c>
      <x:c r="C21" t="str">
        <x:v>No</x:v>
      </x:c>
      <x:c r="D21" t="str"/>
    </x:row>
    <x:row r="22">
      <x:c r="A22" t="str">
        <x:v>Itinerary</x:v>
      </x:c>
      <x:c r="B22" t="str">
        <x:v>quotation_generated</x:v>
      </x:c>
      <x:c r="C22" t="str">
        <x:v>No</x:v>
      </x:c>
      <x:c r="D22" t="str"/>
    </x:row>
    <x:row r="23">
      <x:c r="A23" t="str">
        <x:v>Itinerary</x:v>
      </x:c>
      <x:c r="B23" t="str">
        <x:v>revised</x:v>
      </x:c>
      <x:c r="C23" t="str">
        <x:v>No</x:v>
      </x:c>
      <x:c r="D23" t="str"/>
    </x:row>
    <x:row r="24">
      <x:c r="A24" t="str">
        <x:v>Itinerary</x:v>
      </x:c>
      <x:c r="B24" t="str">
        <x:v>confirmed</x:v>
      </x:c>
      <x:c r="C24" t="str">
        <x:v>No</x:v>
      </x:c>
      <x:c r="D24" t="str"/>
    </x:row>
    <x:row r="25">
      <x:c r="A25" t="str">
        <x:v>Itinerary</x:v>
      </x:c>
      <x:c r="B25" t="str">
        <x:v>converted_to_booking</x:v>
      </x:c>
      <x:c r="C25" t="str">
        <x:v>Yes</x:v>
      </x:c>
      <x:c r="D25" t="str"/>
    </x:row>
    <x:row r="26">
      <x:c r="A26" t="str">
        <x:v>Itinerary</x:v>
      </x:c>
      <x:c r="B26" t="str">
        <x:v>cancelled</x:v>
      </x:c>
      <x:c r="C26" t="str">
        <x:v>Yes</x:v>
      </x:c>
      <x:c r="D26" t="str"/>
    </x:row>
    <x:row r="27">
      <x:c r="A27" t="str">
        <x:v>Itinerary</x:v>
      </x:c>
      <x:c r="B27" t="str">
        <x:v>archived</x:v>
      </x:c>
      <x:c r="C27" t="str">
        <x:v>No</x:v>
      </x:c>
      <x:c r="D27" t="str"/>
    </x:row>
    <x:row r="28">
      <x:c r="A28" t="str">
        <x:v>Quotation</x:v>
      </x:c>
      <x:c r="B28" t="str">
        <x:v>draft</x:v>
      </x:c>
      <x:c r="C28" t="str">
        <x:v>No</x:v>
      </x:c>
      <x:c r="D28" t="str"/>
    </x:row>
    <x:row r="29">
      <x:c r="A29" t="str">
        <x:v>Quotation</x:v>
      </x:c>
      <x:c r="B29" t="str">
        <x:v>pending_validation</x:v>
      </x:c>
      <x:c r="C29" t="str">
        <x:v>No</x:v>
      </x:c>
      <x:c r="D29" t="str"/>
    </x:row>
    <x:row r="30">
      <x:c r="A30" t="str">
        <x:v>Quotation</x:v>
      </x:c>
      <x:c r="B30" t="str">
        <x:v>validated</x:v>
      </x:c>
      <x:c r="C30" t="str">
        <x:v>No</x:v>
      </x:c>
      <x:c r="D30" t="str"/>
    </x:row>
    <x:row r="31">
      <x:c r="A31" t="str">
        <x:v>Quotation</x:v>
      </x:c>
      <x:c r="B31" t="str">
        <x:v>sent</x:v>
      </x:c>
      <x:c r="C31" t="str">
        <x:v>No</x:v>
      </x:c>
      <x:c r="D31" t="str"/>
    </x:row>
    <x:row r="32">
      <x:c r="A32" t="str">
        <x:v>Quotation</x:v>
      </x:c>
      <x:c r="B32" t="str">
        <x:v>revision_requested</x:v>
      </x:c>
      <x:c r="C32" t="str">
        <x:v>No</x:v>
      </x:c>
      <x:c r="D32" t="str"/>
    </x:row>
    <x:row r="33">
      <x:c r="A33" t="str">
        <x:v>Quotation</x:v>
      </x:c>
      <x:c r="B33" t="str">
        <x:v>revised</x:v>
      </x:c>
      <x:c r="C33" t="str">
        <x:v>No</x:v>
      </x:c>
      <x:c r="D33" t="str"/>
    </x:row>
    <x:row r="34">
      <x:c r="A34" t="str">
        <x:v>Quotation</x:v>
      </x:c>
      <x:c r="B34" t="str">
        <x:v>accepted</x:v>
      </x:c>
      <x:c r="C34" t="str">
        <x:v>No</x:v>
      </x:c>
      <x:c r="D34" t="str"/>
    </x:row>
    <x:row r="35">
      <x:c r="A35" t="str">
        <x:v>Quotation</x:v>
      </x:c>
      <x:c r="B35" t="str">
        <x:v>rejected</x:v>
      </x:c>
      <x:c r="C35" t="str">
        <x:v>Yes</x:v>
      </x:c>
      <x:c r="D35" t="str"/>
    </x:row>
    <x:row r="36">
      <x:c r="A36" t="str">
        <x:v>Quotation</x:v>
      </x:c>
      <x:c r="B36" t="str">
        <x:v>expired</x:v>
      </x:c>
      <x:c r="C36" t="str">
        <x:v>Yes</x:v>
      </x:c>
      <x:c r="D36" t="str"/>
    </x:row>
    <x:row r="37">
      <x:c r="A37" t="str">
        <x:v>Quotation</x:v>
      </x:c>
      <x:c r="B37" t="str">
        <x:v>converted</x:v>
      </x:c>
      <x:c r="C37" t="str">
        <x:v>No</x:v>
      </x:c>
      <x:c r="D37" t="str"/>
    </x:row>
    <x:row r="38">
      <x:c r="A38" t="str">
        <x:v>Quotation</x:v>
      </x:c>
      <x:c r="B38" t="str">
        <x:v>superseded</x:v>
      </x:c>
      <x:c r="C38" t="str">
        <x:v>No</x:v>
      </x:c>
      <x:c r="D38" t="str"/>
    </x:row>
    <x:row r="39">
      <x:c r="A39" t="str">
        <x:v>Quotation</x:v>
      </x:c>
      <x:c r="B39" t="str">
        <x:v>amended</x:v>
      </x:c>
      <x:c r="C39" t="str">
        <x:v>No</x:v>
      </x:c>
      <x:c r="D39" t="str"/>
    </x:row>
    <x:row r="40">
      <x:c r="A40" t="str">
        <x:v>Quotation</x:v>
      </x:c>
      <x:c r="B40" t="str">
        <x:v>cancelled</x:v>
      </x:c>
      <x:c r="C40" t="str">
        <x:v>Yes</x:v>
      </x:c>
      <x:c r="D40" t="str"/>
    </x:row>
    <x:row r="41">
      <x:c r="A41" t="str">
        <x:v>Validation</x:v>
      </x:c>
      <x:c r="B41" t="str">
        <x:v>pending</x:v>
      </x:c>
      <x:c r="C41" t="str">
        <x:v>No</x:v>
      </x:c>
      <x:c r="D41" t="str"/>
    </x:row>
    <x:row r="42">
      <x:c r="A42" t="str">
        <x:v>Validation</x:v>
      </x:c>
      <x:c r="B42" t="str">
        <x:v>valid</x:v>
      </x:c>
      <x:c r="C42" t="str">
        <x:v>No</x:v>
      </x:c>
      <x:c r="D42" t="str"/>
    </x:row>
    <x:row r="43">
      <x:c r="A43" t="str">
        <x:v>Validation</x:v>
      </x:c>
      <x:c r="B43" t="str">
        <x:v>invalid</x:v>
      </x:c>
      <x:c r="C43" t="str">
        <x:v>No</x:v>
      </x:c>
      <x:c r="D43" t="str"/>
    </x:row>
    <x:row r="44">
      <x:c r="A44" t="str">
        <x:v>Validation</x:v>
      </x:c>
      <x:c r="B44" t="str">
        <x:v>need_update</x:v>
      </x:c>
      <x:c r="C44" t="str">
        <x:v>No</x:v>
      </x:c>
      <x:c r="D44" t="str"/>
    </x:row>
    <x:row r="45">
      <x:c r="A45" t="str">
        <x:v>Validation</x:v>
      </x:c>
      <x:c r="B45" t="str">
        <x:v>expired_rate</x:v>
      </x:c>
      <x:c r="C45" t="str">
        <x:v>No</x:v>
      </x:c>
      <x:c r="D45" t="str"/>
    </x:row>
    <x:row r="46">
      <x:c r="A46" t="str">
        <x:v>Booking</x:v>
      </x:c>
      <x:c r="B46" t="str">
        <x:v>pending_confirmation</x:v>
      </x:c>
      <x:c r="C46" t="str">
        <x:v>No</x:v>
      </x:c>
      <x:c r="D46" t="str"/>
    </x:row>
    <x:row r="47">
      <x:c r="A47" t="str">
        <x:v>Booking</x:v>
      </x:c>
      <x:c r="B47" t="str">
        <x:v>confirmed</x:v>
      </x:c>
      <x:c r="C47" t="str">
        <x:v>No</x:v>
      </x:c>
      <x:c r="D47" t="str"/>
    </x:row>
    <x:row r="48">
      <x:c r="A48" t="str">
        <x:v>Booking</x:v>
      </x:c>
      <x:c r="B48" t="str">
        <x:v>awaiting_dp</x:v>
      </x:c>
      <x:c r="C48" t="str">
        <x:v>No</x:v>
      </x:c>
      <x:c r="D48" t="str"/>
    </x:row>
    <x:row r="49">
      <x:c r="A49" t="str">
        <x:v>Booking</x:v>
      </x:c>
      <x:c r="B49" t="str">
        <x:v>dp_received</x:v>
      </x:c>
      <x:c r="C49" t="str">
        <x:v>No</x:v>
      </x:c>
      <x:c r="D49" t="str"/>
    </x:row>
    <x:row r="50">
      <x:c r="A50" t="str">
        <x:v>Booking</x:v>
      </x:c>
      <x:c r="B50" t="str">
        <x:v>awaiting_balance</x:v>
      </x:c>
      <x:c r="C50" t="str">
        <x:v>No</x:v>
      </x:c>
      <x:c r="D50" t="str"/>
    </x:row>
    <x:row r="51">
      <x:c r="A51" t="str">
        <x:v>Booking</x:v>
      </x:c>
      <x:c r="B51" t="str">
        <x:v>ready_to_operate</x:v>
      </x:c>
      <x:c r="C51" t="str">
        <x:v>No</x:v>
      </x:c>
      <x:c r="D51" t="str"/>
    </x:row>
    <x:row r="52">
      <x:c r="A52" t="str">
        <x:v>Booking</x:v>
      </x:c>
      <x:c r="B52" t="str">
        <x:v>in_operation</x:v>
      </x:c>
      <x:c r="C52" t="str">
        <x:v>No</x:v>
      </x:c>
      <x:c r="D52" t="str"/>
    </x:row>
    <x:row r="53">
      <x:c r="A53" t="str">
        <x:v>Booking</x:v>
      </x:c>
      <x:c r="B53" t="str">
        <x:v>service_completed</x:v>
      </x:c>
      <x:c r="C53" t="str">
        <x:v>No</x:v>
      </x:c>
      <x:c r="D53" t="str"/>
    </x:row>
    <x:row r="54">
      <x:c r="A54" t="str">
        <x:v>Booking</x:v>
      </x:c>
      <x:c r="B54" t="str">
        <x:v>completed_unsettled</x:v>
      </x:c>
      <x:c r="C54" t="str">
        <x:v>No</x:v>
      </x:c>
      <x:c r="D54" t="str"/>
    </x:row>
    <x:row r="55">
      <x:c r="A55" t="str">
        <x:v>Booking</x:v>
      </x:c>
      <x:c r="B55" t="str">
        <x:v>completed_settled</x:v>
      </x:c>
      <x:c r="C55" t="str">
        <x:v>No</x:v>
      </x:c>
      <x:c r="D55" t="str"/>
    </x:row>
    <x:row r="56">
      <x:c r="A56" t="str">
        <x:v>Booking</x:v>
      </x:c>
      <x:c r="B56" t="str">
        <x:v>closed</x:v>
      </x:c>
      <x:c r="C56" t="str">
        <x:v>Yes</x:v>
      </x:c>
      <x:c r="D56" t="str"/>
    </x:row>
    <x:row r="57">
      <x:c r="A57" t="str">
        <x:v>Booking</x:v>
      </x:c>
      <x:c r="B57" t="str">
        <x:v>cancelled</x:v>
      </x:c>
      <x:c r="C57" t="str">
        <x:v>Yes</x:v>
      </x:c>
      <x:c r="D57" t="str"/>
    </x:row>
    <x:row r="58">
      <x:c r="A58" t="str">
        <x:v>Invoice</x:v>
      </x:c>
      <x:c r="B58" t="str">
        <x:v>draft</x:v>
      </x:c>
      <x:c r="C58" t="str">
        <x:v>No</x:v>
      </x:c>
      <x:c r="D58" t="str"/>
    </x:row>
    <x:row r="59">
      <x:c r="A59" t="str">
        <x:v>Invoice</x:v>
      </x:c>
      <x:c r="B59" t="str">
        <x:v>issued</x:v>
      </x:c>
      <x:c r="C59" t="str">
        <x:v>No</x:v>
      </x:c>
      <x:c r="D59" t="str"/>
    </x:row>
    <x:row r="60">
      <x:c r="A60" t="str">
        <x:v>Invoice</x:v>
      </x:c>
      <x:c r="B60" t="str">
        <x:v>partially_paid</x:v>
      </x:c>
      <x:c r="C60" t="str">
        <x:v>No</x:v>
      </x:c>
      <x:c r="D60" t="str"/>
    </x:row>
    <x:row r="61">
      <x:c r="A61" t="str">
        <x:v>Invoice</x:v>
      </x:c>
      <x:c r="B61" t="str">
        <x:v>paid</x:v>
      </x:c>
      <x:c r="C61" t="str">
        <x:v>Yes</x:v>
      </x:c>
      <x:c r="D61" t="str"/>
    </x:row>
    <x:row r="62">
      <x:c r="A62" t="str">
        <x:v>Invoice</x:v>
      </x:c>
      <x:c r="B62" t="str">
        <x:v>overpaid</x:v>
      </x:c>
      <x:c r="C62" t="str">
        <x:v>No</x:v>
      </x:c>
      <x:c r="D62" t="str"/>
    </x:row>
    <x:row r="63">
      <x:c r="A63" t="str">
        <x:v>Invoice</x:v>
      </x:c>
      <x:c r="B63" t="str">
        <x:v>revised</x:v>
      </x:c>
      <x:c r="C63" t="str">
        <x:v>No</x:v>
      </x:c>
      <x:c r="D63" t="str"/>
    </x:row>
    <x:row r="64">
      <x:c r="A64" t="str">
        <x:v>Invoice</x:v>
      </x:c>
      <x:c r="B64" t="str">
        <x:v>void</x:v>
      </x:c>
      <x:c r="C64" t="str">
        <x:v>Yes</x:v>
      </x:c>
      <x:c r="D64" t="str"/>
    </x:row>
    <x:row r="65">
      <x:c r="A65" t="str">
        <x:v>Invoice</x:v>
      </x:c>
      <x:c r="B65" t="str">
        <x:v>cancelled</x:v>
      </x:c>
      <x:c r="C65" t="str">
        <x:v>Yes</x:v>
      </x:c>
      <x:c r="D65" t="str"/>
    </x:row>
    <x:row r="66">
      <x:c r="A66" t="str">
        <x:v>Payment</x:v>
      </x:c>
      <x:c r="B66" t="str">
        <x:v>pending</x:v>
      </x:c>
      <x:c r="C66" t="str">
        <x:v>No</x:v>
      </x:c>
      <x:c r="D66" t="str"/>
    </x:row>
    <x:row r="67">
      <x:c r="A67" t="str">
        <x:v>Payment</x:v>
      </x:c>
      <x:c r="B67" t="str">
        <x:v>waiting_confirmation</x:v>
      </x:c>
      <x:c r="C67" t="str">
        <x:v>No</x:v>
      </x:c>
      <x:c r="D67" t="str"/>
    </x:row>
    <x:row r="68">
      <x:c r="A68" t="str">
        <x:v>Payment</x:v>
      </x:c>
      <x:c r="B68" t="str">
        <x:v>confirmed</x:v>
      </x:c>
      <x:c r="C68" t="str">
        <x:v>No</x:v>
      </x:c>
      <x:c r="D68" t="str"/>
    </x:row>
    <x:row r="69">
      <x:c r="A69" t="str">
        <x:v>Payment</x:v>
      </x:c>
      <x:c r="B69" t="str">
        <x:v>rejected</x:v>
      </x:c>
      <x:c r="C69" t="str">
        <x:v>Yes</x:v>
      </x:c>
      <x:c r="D69" t="str"/>
    </x:row>
    <x:row r="70">
      <x:c r="A70" t="str">
        <x:v>Payment</x:v>
      </x:c>
      <x:c r="B70" t="str">
        <x:v>refunded</x:v>
      </x:c>
      <x:c r="C70" t="str">
        <x:v>Yes</x:v>
      </x:c>
      <x:c r="D70" t="str"/>
    </x:row>
    <x:row r="71">
      <x:c r="A71" t="str">
        <x:v>Payment</x:v>
      </x:c>
      <x:c r="B71" t="str">
        <x:v>allocated_as_deposit</x:v>
      </x:c>
      <x:c r="C71" t="str">
        <x:v>Yes</x:v>
      </x:c>
      <x:c r="D71" t="str"/>
    </x:row>
    <x:row r="72">
      <x:c r="A72" t="str">
        <x:v>Adjustment</x:v>
      </x:c>
      <x:c r="B72" t="str">
        <x:v>draft</x:v>
      </x:c>
      <x:c r="C72" t="str">
        <x:v>No</x:v>
      </x:c>
      <x:c r="D72" t="str"/>
    </x:row>
    <x:row r="73">
      <x:c r="A73" t="str">
        <x:v>Adjustment</x:v>
      </x:c>
      <x:c r="B73" t="str">
        <x:v>pending_approval</x:v>
      </x:c>
      <x:c r="C73" t="str">
        <x:v>No</x:v>
      </x:c>
      <x:c r="D73" t="str"/>
    </x:row>
    <x:row r="74">
      <x:c r="A74" t="str">
        <x:v>Adjustment</x:v>
      </x:c>
      <x:c r="B74" t="str">
        <x:v>approved</x:v>
      </x:c>
      <x:c r="C74" t="str">
        <x:v>No</x:v>
      </x:c>
      <x:c r="D74" t="str"/>
    </x:row>
    <x:row r="75">
      <x:c r="A75" t="str">
        <x:v>Adjustment</x:v>
      </x:c>
      <x:c r="B75" t="str">
        <x:v>rejected</x:v>
      </x:c>
      <x:c r="C75" t="str">
        <x:v>Yes</x:v>
      </x:c>
      <x:c r="D75" t="str"/>
    </x:row>
    <x:row r="76">
      <x:c r="A76" t="str">
        <x:v>Adjustment</x:v>
      </x:c>
      <x:c r="B76" t="str">
        <x:v>applied</x:v>
      </x:c>
      <x:c r="C76" t="str">
        <x:v>Yes</x:v>
      </x:c>
      <x:c r="D76" t="str"/>
    </x:row>
    <x:row r="77">
      <x:c r="A77" t="str">
        <x:v>Adjustment</x:v>
      </x:c>
      <x:c r="B77" t="str">
        <x:v>cancelled</x:v>
      </x:c>
      <x:c r="C77" t="str">
        <x:v>Yes</x:v>
      </x:c>
      <x:c r="D77" t="str"/>
    </x:row>
    <x:row r="78">
      <x:c r="A78" t="str">
        <x:v>Settlement</x:v>
      </x:c>
      <x:c r="B78" t="str">
        <x:v>pending_review</x:v>
      </x:c>
      <x:c r="C78" t="str">
        <x:v>No</x:v>
      </x:c>
      <x:c r="D78" t="str"/>
    </x:row>
    <x:row r="79">
      <x:c r="A79" t="str">
        <x:v>Settlement</x:v>
      </x:c>
      <x:c r="B79" t="str">
        <x:v>outstanding_balance</x:v>
      </x:c>
      <x:c r="C79" t="str">
        <x:v>No</x:v>
      </x:c>
      <x:c r="D79" t="str"/>
    </x:row>
    <x:row r="80">
      <x:c r="A80" t="str">
        <x:v>Settlement</x:v>
      </x:c>
      <x:c r="B80" t="str">
        <x:v>overpaid</x:v>
      </x:c>
      <x:c r="C80" t="str">
        <x:v>No</x:v>
      </x:c>
      <x:c r="D80" t="str"/>
    </x:row>
    <x:row r="81">
      <x:c r="A81" t="str">
        <x:v>Settlement</x:v>
      </x:c>
      <x:c r="B81" t="str">
        <x:v>refund_required</x:v>
      </x:c>
      <x:c r="C81" t="str">
        <x:v>No</x:v>
      </x:c>
      <x:c r="D81" t="str"/>
    </x:row>
    <x:row r="82">
      <x:c r="A82" t="str">
        <x:v>Settlement</x:v>
      </x:c>
      <x:c r="B82" t="str">
        <x:v>deposit_recorded</x:v>
      </x:c>
      <x:c r="C82" t="str">
        <x:v>No</x:v>
      </x:c>
      <x:c r="D82" t="str"/>
    </x:row>
    <x:row r="83">
      <x:c r="A83" t="str">
        <x:v>Settlement</x:v>
      </x:c>
      <x:c r="B83" t="str">
        <x:v>settled</x:v>
      </x:c>
      <x:c r="C83" t="str">
        <x:v>Yes</x:v>
      </x:c>
      <x:c r="D83" t="str"/>
    </x:row>
  </x:sheetData>
  <x:pageMargins left="0.7" right="0.7" top="0.75" bottom="0.75" header="0.3" footer="0.3"/>
  <x:tableParts count="1">
    <x:tablePart xmlns:r="http://schemas.openxmlformats.org/officeDocument/2006/relationships" r:id="R8564bd437e6b49d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.549999237060547" hidden="0" customWidth="1"/>
    <x:col min="2" max="2" width="60.15999984741211" hidden="0" customWidth="1"/>
    <x:col min="3" max="3" width="9.149999618530273" hidden="0" customWidth="1"/>
    <x:col min="4" max="4" width="4.710000038146973" hidden="0" customWidth="1"/>
  </x:cols>
  <x:sheetData>
    <x:row r="1">
      <x:c r="A1" s="23" t="str">
        <x:v>Gate</x:v>
      </x:c>
      <x:c r="B1" s="23" t="str">
        <x:v>Pass Criteria</x:v>
      </x:c>
      <x:c r="C1" s="23" t="str">
        <x:v>Status</x:v>
      </x:c>
      <x:c r="D1" s="23" t="str">
        <x:v>Notes</x:v>
      </x:c>
    </x:row>
    <x:row r="2">
      <x:c r="A2" t="str">
        <x:v>Business Flow</x:v>
      </x:c>
      <x:c r="B2" t="str">
        <x:v>Customer → Inquiry → Itinerary → Quotation → Booking works end-to-end</x:v>
      </x:c>
      <x:c r="C2" t="str">
        <x:v>Not Started</x:v>
      </x:c>
      <x:c r="D2" t="str"/>
    </x:row>
    <x:row r="3">
      <x:c r="A3" t="str">
        <x:v>Status Integrity</x:v>
      </x:c>
      <x:c r="B3" t="str">
        <x:v>No inconsistent status between DB/model/controller/view</x:v>
      </x:c>
      <x:c r="C3" t="str">
        <x:v>Not Started</x:v>
      </x:c>
      <x:c r="D3" t="str"/>
    </x:row>
    <x:row r="4">
      <x:c r="A4" t="str">
        <x:v>Quotation Validation</x:v>
      </x:c>
      <x:c r="B4" t="str">
        <x:v>Quotation cannot be sent before required validation is complete</x:v>
      </x:c>
      <x:c r="C4" t="str">
        <x:v>Not Started</x:v>
      </x:c>
      <x:c r="D4" t="str"/>
    </x:row>
    <x:row r="5">
      <x:c r="A5" t="str">
        <x:v>Booking Conversion</x:v>
      </x:c>
      <x:c r="B5" t="str">
        <x:v>Booking only from accepted quotation</x:v>
      </x:c>
      <x:c r="C5" t="str">
        <x:v>Not Started</x:v>
      </x:c>
      <x:c r="D5" t="str"/>
    </x:row>
    <x:row r="6">
      <x:c r="A6" t="str">
        <x:v>Finance Integrity</x:v>
      </x:c>
      <x:c r="B6" t="str">
        <x:v>Invoice/payment/balance/overpayment accurate</x:v>
      </x:c>
      <x:c r="C6" t="str">
        <x:v>Not Started</x:v>
      </x:c>
      <x:c r="D6" t="str"/>
    </x:row>
    <x:row r="7">
      <x:c r="A7" t="str">
        <x:v>Adjustment</x:v>
      </x:c>
      <x:c r="B7" t="str">
        <x:v>Post-booking changes use adjustment, not direct edit</x:v>
      </x:c>
      <x:c r="C7" t="str">
        <x:v>Not Started</x:v>
      </x:c>
      <x:c r="D7" t="str"/>
    </x:row>
    <x:row r="8">
      <x:c r="A8" t="str">
        <x:v>Settlement</x:v>
      </x:c>
      <x:c r="B8" t="str">
        <x:v>Booking closes only after service + finance settled</x:v>
      </x:c>
      <x:c r="C8" t="str">
        <x:v>Not Started</x:v>
      </x:c>
      <x:c r="D8" t="str"/>
    </x:row>
    <x:row r="9">
      <x:c r="A9" t="str">
        <x:v>Permission</x:v>
      </x:c>
      <x:c r="B9" t="str">
        <x:v>Roles cannot access unauthorized modules/routes</x:v>
      </x:c>
      <x:c r="C9" t="str">
        <x:v>Not Started</x:v>
      </x:c>
      <x:c r="D9" t="str"/>
    </x:row>
    <x:row r="10">
      <x:c r="A10" t="str">
        <x:v>Production</x:v>
      </x:c>
      <x:c r="B10" t="str">
        <x:v>APP_DEBUG=false, Vite build, storage, scheduler, backup ready</x:v>
      </x:c>
      <x:c r="C10" t="str">
        <x:v>Not Started</x:v>
      </x:c>
      <x:c r="D10" t="str"/>
    </x:row>
  </x:sheetData>
  <x:dataValidations count="1">
    <x:dataValidation type="list" sqref="C2:C100">
      <x:formula1>"Not Started,In Progress,Passed,Failed,Blocked"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caa3fb2be01491d"/>
  </x:tableParts>
</x:worksheet>
</file>